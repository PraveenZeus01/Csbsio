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Backlog" sheetId="1" state="visible" r:id="rId3"/>
    <sheet name="burntdown_cha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<sst xmlns="http://schemas.openxmlformats.org/spreadsheetml/2006/main" count="136" uniqueCount="89">
  <si>
    <t xml:space="preserve">Story</t>
  </si>
  <si>
    <t xml:space="preserve">Sprint Backlog Item</t>
  </si>
  <si>
    <t xml:space="preserve">Task</t>
  </si>
  <si>
    <t xml:space="preserve">Volunteer</t>
  </si>
  <si>
    <t xml:space="preserve">Task Details</t>
  </si>
  <si>
    <t xml:space="preserve">Initial Effort</t>
  </si>
  <si>
    <t xml:space="preserve">Day 1 Rem</t>
  </si>
  <si>
    <t xml:space="preserve">Day 2 Rem</t>
  </si>
  <si>
    <t xml:space="preserve">Day 3 Rem</t>
  </si>
  <si>
    <t xml:space="preserve">Status</t>
  </si>
  <si>
    <t xml:space="preserve">US01</t>
  </si>
  <si>
    <t xml:space="preserve">Authentication</t>
  </si>
  <si>
    <t xml:space="preserve">Role-based Login</t>
  </si>
  <si>
    <t xml:space="preserve">TBD</t>
  </si>
  <si>
    <t xml:space="preserve">Login with role-based redirect to Admin/Driver/Passenger home page; only active accounts allowed</t>
  </si>
  <si>
    <t xml:space="preserve">To Do</t>
  </si>
  <si>
    <t xml:space="preserve">US02</t>
  </si>
  <si>
    <t xml:space="preserve">Driver Management</t>
  </si>
  <si>
    <t xml:space="preserve">Create Driver</t>
  </si>
  <si>
    <t xml:space="preserve">Admin creates driver account with default password, inactive status, 5-digit Driver ID, unique email/mobile</t>
  </si>
  <si>
    <t xml:space="preserve">US03</t>
  </si>
  <si>
    <t xml:space="preserve">View Registered Drivers</t>
  </si>
  <si>
    <t xml:space="preserve">Admin views drivers by registration_status; sort by Avg_Rating and registration_date</t>
  </si>
  <si>
    <t xml:space="preserve">US04</t>
  </si>
  <si>
    <t xml:space="preserve">Terminate Driver</t>
  </si>
  <si>
    <t xml:space="preserve">Admin terminates low-performing drivers (Rides&gt;10, Earnings&gt;5000, Rating&lt;3.0), status active-&gt;inactive</t>
  </si>
  <si>
    <t xml:space="preserve">US05</t>
  </si>
  <si>
    <t xml:space="preserve">Passenger Management</t>
  </si>
  <si>
    <t xml:space="preserve">View Registered Passengers</t>
  </si>
  <si>
    <t xml:space="preserve">Admin views passengers sorted descending by no. of rides; filter by registration_status</t>
  </si>
  <si>
    <t xml:space="preserve">US06</t>
  </si>
  <si>
    <t xml:space="preserve">Ride Management</t>
  </si>
  <si>
    <t xml:space="preserve">Approve Ride</t>
  </si>
  <si>
    <t xml:space="preserve">Admin approves driver add/modify/delete ride requests; changes reflected in database</t>
  </si>
  <si>
    <t xml:space="preserve">US07</t>
  </si>
  <si>
    <t xml:space="preserve">Audit</t>
  </si>
  <si>
    <t xml:space="preserve">Admin Activity Audit Trail</t>
  </si>
  <si>
    <t xml:space="preserve">Log CRUD operations (Driver, Passenger, Ride, Rating) to audit_logs table; export as .csv</t>
  </si>
  <si>
    <t xml:space="preserve">US08</t>
  </si>
  <si>
    <t xml:space="preserve">Driver Registration</t>
  </si>
  <si>
    <t xml:space="preserve">Register Driver Account</t>
  </si>
  <si>
    <t xml:space="preserve">Driver self-registers; 7-digit Driver ID, License Number 7-digit prefixed 'LI'</t>
  </si>
  <si>
    <t xml:space="preserve">US09</t>
  </si>
  <si>
    <t xml:space="preserve">Create Ride</t>
  </si>
  <si>
    <t xml:space="preserve">Driver creates ride with inactive status; becomes active after admin approval</t>
  </si>
  <si>
    <t xml:space="preserve">US10</t>
  </si>
  <si>
    <t xml:space="preserve">View All Rides</t>
  </si>
  <si>
    <t xml:space="preserve">Driver views rides by registration_status; sort descending by fare and distance</t>
  </si>
  <si>
    <t xml:space="preserve">US11</t>
  </si>
  <si>
    <t xml:space="preserve">Edit Ride Details</t>
  </si>
  <si>
    <t xml:space="preserve">Driver edits ride by ride_id, status active-&gt;inactive; active again after admin approval</t>
  </si>
  <si>
    <t xml:space="preserve">US12</t>
  </si>
  <si>
    <t xml:space="preserve">Cancel Ride</t>
  </si>
  <si>
    <t xml:space="preserve">Driver cancels ride by ride_id; status active-&gt;inactive after admin approval</t>
  </si>
  <si>
    <t xml:space="preserve">US13</t>
  </si>
  <si>
    <t xml:space="preserve">Driver Profile</t>
  </si>
  <si>
    <t xml:space="preserve">Update Driver Profile</t>
  </si>
  <si>
    <t xml:space="preserve">Driver updates profile (except Driver ID and License Number) with input validations</t>
  </si>
  <si>
    <t xml:space="preserve">US14</t>
  </si>
  <si>
    <t xml:space="preserve">Passenger Registration</t>
  </si>
  <si>
    <t xml:space="preserve">Register Passenger Account</t>
  </si>
  <si>
    <t xml:space="preserve">Passenger self-registers; 7-digit Passenger ID, unique email/mobile, input validations</t>
  </si>
  <si>
    <t xml:space="preserve">US15</t>
  </si>
  <si>
    <t xml:space="preserve">Ride Booking</t>
  </si>
  <si>
    <t xml:space="preserve">Browse Rides</t>
  </si>
  <si>
    <t xml:space="preserve">Passenger views all active rides in grid format with driver and ride details</t>
  </si>
  <si>
    <t xml:space="preserve">US16</t>
  </si>
  <si>
    <t xml:space="preserve">Book Ride</t>
  </si>
  <si>
    <t xml:space="preserve">Passenger books an active ride; booking shown in Booking History, sortable by booking date</t>
  </si>
  <si>
    <t xml:space="preserve">US17</t>
  </si>
  <si>
    <t xml:space="preserve">Rating</t>
  </si>
  <si>
    <t xml:space="preserve">Rate Driver</t>
  </si>
  <si>
    <t xml:space="preserve">Passenger rates driver (1.0-5.0) once ride_status is Completed</t>
  </si>
  <si>
    <t xml:space="preserve">US18</t>
  </si>
  <si>
    <t xml:space="preserve">Passenger Profile</t>
  </si>
  <si>
    <t xml:space="preserve">Update Passenger Profile</t>
  </si>
  <si>
    <t xml:space="preserve">Passenger updates profile (except Passenger ID) with input validations</t>
  </si>
  <si>
    <t xml:space="preserve">US19</t>
  </si>
  <si>
    <t xml:space="preserve">Deactivate Account</t>
  </si>
  <si>
    <t xml:space="preserve">Passenger deactivates account, status active-&gt;inactive; can no longer login</t>
  </si>
  <si>
    <t xml:space="preserve">US20</t>
  </si>
  <si>
    <t xml:space="preserve">Logout</t>
  </si>
  <si>
    <t xml:space="preserve">Logout with confirmation pop-up; session expired and browser cache cleared</t>
  </si>
  <si>
    <t xml:space="preserve">Day 0</t>
  </si>
  <si>
    <t xml:space="preserve">Day 1</t>
  </si>
  <si>
    <t xml:space="preserve">Day 2</t>
  </si>
  <si>
    <t xml:space="preserve">Day 3</t>
  </si>
  <si>
    <t xml:space="preserve">Initial estimation trend</t>
  </si>
  <si>
    <t xml:space="preserve">Actual estimation trend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</si>
</sst>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7A6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6C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RideShare Sprint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burntdown_chart!A2</c:f>
              <c:strCache>
                <c:ptCount val="1"/>
                <c:pt idx="0">
                  <c:v>Initial estimation trend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burntdown_chart!$B$1:$E$1</c:f>
              <c:strCache>
                <c:ptCount val="4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</c:strCache>
            </c:strRef>
          </c:cat>
          <c:val>
            <c:numRef>
              <c:f>burntdown_chart!$B$2:$E$2</c:f>
              <c:numCache>
                <c:formatCode>0</c:formatCode>
                <c:ptCount val="4"/>
                <c:pt idx="0">
                  <c:v>90</c:v>
                </c:pt>
                <c:pt idx="1">
                  <c:v>60</c:v>
                </c:pt>
                <c:pt idx="2">
                  <c:v>30</c:v>
                </c:pt>
                <c:pt idx="3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burntdown_chart!A3</c:f>
              <c:strCache>
                <c:ptCount val="1"/>
                <c:pt idx="0">
                  <c:v>Actual estimation trend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burntdown_chart!$B$1:$E$1</c:f>
              <c:strCache>
                <c:ptCount val="4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</c:strCache>
            </c:strRef>
          </c:cat>
          <c:val>
            <c:numRef>
              <c:f>burntdown_chart!$B$3:$E$3</c:f>
              <c:numCache>
                <c:formatCode>0</c:formatCode>
                <c:ptCount val="4"/>
                <c:pt idx="0">
                  <c:v>90</c:v>
                </c:pt>
                <c:pt idx="1">
                  <c:v>90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374235"/>
        <c:axId val="29457975"/>
      </c:lineChart>
      <c:catAx>
        <c:axId val="793742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Sprint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57975"/>
        <c:crosses val="autoZero"/>
        <c:auto val="1"/>
        <c:lblAlgn val="ctr"/>
        <c:lblOffset val="100"/>
        <c:noMultiLvlLbl val="0"/>
      </c:catAx>
      <c:valAx>
        <c:axId val="29457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Remaining Effort (Story Points)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742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0</xdr:rowOff>
    </xdr:from>
    <xdr:to>
      <xdr:col>10</xdr:col>
      <xdr:colOff>351000</xdr:colOff>
      <xdr:row>23</xdr:row>
      <xdr:rowOff>170640</xdr:rowOff>
    </xdr:to>
    <xdr:graphicFrame>
      <xdr:nvGraphicFramePr>
        <xdr:cNvPr id="0" name="Chart 1"/>
        <xdr:cNvGraphicFramePr/>
      </xdr:nvGraphicFramePr>
      <xdr:xfrm>
        <a:off x="0" y="9525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10" min="7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1.5" hidden="false" customHeight="true" outlineLevel="0" collapsed="false">
      <c r="A2" s="2" t="s">
        <v>10</v>
      </c>
      <c r="B2" s="3" t="s">
        <v>11</v>
      </c>
      <c r="C2" s="3" t="s">
        <v>12</v>
      </c>
      <c r="D2" s="2" t="s">
        <v>13</v>
      </c>
      <c r="E2" s="3" t="s">
        <v>14</v>
      </c>
      <c r="F2" s="2" t="n">
        <v>5</v>
      </c>
      <c r="G2" s="2" t="n">
        <v>5</v>
      </c>
      <c r="H2" s="2"/>
      <c r="I2" s="2"/>
      <c r="J2" s="2" t="s">
        <v>15</v>
      </c>
    </row>
    <row r="3" customFormat="false" ht="31.5" hidden="false" customHeight="true" outlineLevel="0" collapsed="false">
      <c r="A3" s="2" t="s">
        <v>16</v>
      </c>
      <c r="B3" s="3" t="s">
        <v>17</v>
      </c>
      <c r="C3" s="3" t="s">
        <v>18</v>
      </c>
      <c r="D3" s="2" t="s">
        <v>13</v>
      </c>
      <c r="E3" s="3" t="s">
        <v>19</v>
      </c>
      <c r="F3" s="2" t="n">
        <v>5</v>
      </c>
      <c r="G3" s="2" t="n">
        <v>5</v>
      </c>
      <c r="H3" s="2"/>
      <c r="I3" s="2"/>
      <c r="J3" s="2" t="s">
        <v>15</v>
      </c>
    </row>
    <row r="4" customFormat="false" ht="31.5" hidden="false" customHeight="true" outlineLevel="0" collapsed="false">
      <c r="A4" s="2" t="s">
        <v>20</v>
      </c>
      <c r="B4" s="3" t="s">
        <v>17</v>
      </c>
      <c r="C4" s="3" t="s">
        <v>21</v>
      </c>
      <c r="D4" s="2" t="s">
        <v>13</v>
      </c>
      <c r="E4" s="3" t="s">
        <v>22</v>
      </c>
      <c r="F4" s="2" t="n">
        <v>4</v>
      </c>
      <c r="G4" s="2" t="n">
        <v>4</v>
      </c>
      <c r="H4" s="2"/>
      <c r="I4" s="2"/>
      <c r="J4" s="2" t="s">
        <v>15</v>
      </c>
    </row>
    <row r="5" customFormat="false" ht="31.5" hidden="false" customHeight="true" outlineLevel="0" collapsed="false">
      <c r="A5" s="2" t="s">
        <v>23</v>
      </c>
      <c r="B5" s="3" t="s">
        <v>17</v>
      </c>
      <c r="C5" s="3" t="s">
        <v>24</v>
      </c>
      <c r="D5" s="2" t="s">
        <v>13</v>
      </c>
      <c r="E5" s="3" t="s">
        <v>25</v>
      </c>
      <c r="F5" s="2" t="n">
        <v>4</v>
      </c>
      <c r="G5" s="2" t="n">
        <v>4</v>
      </c>
      <c r="H5" s="2"/>
      <c r="I5" s="2"/>
      <c r="J5" s="2" t="s">
        <v>15</v>
      </c>
    </row>
    <row r="6" customFormat="false" ht="31.5" hidden="false" customHeight="true" outlineLevel="0" collapsed="false">
      <c r="A6" s="2" t="s">
        <v>26</v>
      </c>
      <c r="B6" s="3" t="s">
        <v>27</v>
      </c>
      <c r="C6" s="3" t="s">
        <v>28</v>
      </c>
      <c r="D6" s="2" t="s">
        <v>13</v>
      </c>
      <c r="E6" s="3" t="s">
        <v>29</v>
      </c>
      <c r="F6" s="2" t="n">
        <v>4</v>
      </c>
      <c r="G6" s="2" t="n">
        <v>4</v>
      </c>
      <c r="H6" s="2"/>
      <c r="I6" s="2"/>
      <c r="J6" s="2" t="s">
        <v>15</v>
      </c>
    </row>
    <row r="7" customFormat="false" ht="31.5" hidden="false" customHeight="true" outlineLevel="0" collapsed="false">
      <c r="A7" s="2" t="s">
        <v>30</v>
      </c>
      <c r="B7" s="3" t="s">
        <v>31</v>
      </c>
      <c r="C7" s="3" t="s">
        <v>32</v>
      </c>
      <c r="D7" s="2" t="s">
        <v>13</v>
      </c>
      <c r="E7" s="3" t="s">
        <v>33</v>
      </c>
      <c r="F7" s="2" t="n">
        <v>5</v>
      </c>
      <c r="G7" s="2" t="n">
        <v>5</v>
      </c>
      <c r="H7" s="2"/>
      <c r="I7" s="2"/>
      <c r="J7" s="2" t="s">
        <v>15</v>
      </c>
    </row>
    <row r="8" customFormat="false" ht="31.5" hidden="false" customHeight="true" outlineLevel="0" collapsed="false">
      <c r="A8" s="2" t="s">
        <v>34</v>
      </c>
      <c r="B8" s="3" t="s">
        <v>35</v>
      </c>
      <c r="C8" s="3" t="s">
        <v>36</v>
      </c>
      <c r="D8" s="2" t="s">
        <v>13</v>
      </c>
      <c r="E8" s="3" t="s">
        <v>37</v>
      </c>
      <c r="F8" s="2" t="n">
        <v>6</v>
      </c>
      <c r="G8" s="2" t="n">
        <v>6</v>
      </c>
      <c r="H8" s="2"/>
      <c r="I8" s="2"/>
      <c r="J8" s="2" t="s">
        <v>15</v>
      </c>
    </row>
    <row r="9" customFormat="false" ht="31.5" hidden="false" customHeight="true" outlineLevel="0" collapsed="false">
      <c r="A9" s="2" t="s">
        <v>38</v>
      </c>
      <c r="B9" s="3" t="s">
        <v>39</v>
      </c>
      <c r="C9" s="3" t="s">
        <v>40</v>
      </c>
      <c r="D9" s="2" t="s">
        <v>13</v>
      </c>
      <c r="E9" s="3" t="s">
        <v>41</v>
      </c>
      <c r="F9" s="2" t="n">
        <v>5</v>
      </c>
      <c r="G9" s="2" t="n">
        <v>5</v>
      </c>
      <c r="H9" s="2"/>
      <c r="I9" s="2"/>
      <c r="J9" s="2" t="s">
        <v>15</v>
      </c>
    </row>
    <row r="10" customFormat="false" ht="31.5" hidden="false" customHeight="true" outlineLevel="0" collapsed="false">
      <c r="A10" s="2" t="s">
        <v>42</v>
      </c>
      <c r="B10" s="3" t="s">
        <v>31</v>
      </c>
      <c r="C10" s="3" t="s">
        <v>43</v>
      </c>
      <c r="D10" s="2" t="s">
        <v>13</v>
      </c>
      <c r="E10" s="3" t="s">
        <v>44</v>
      </c>
      <c r="F10" s="2" t="n">
        <v>6</v>
      </c>
      <c r="G10" s="2" t="n">
        <v>6</v>
      </c>
      <c r="H10" s="2"/>
      <c r="I10" s="2"/>
      <c r="J10" s="2" t="s">
        <v>15</v>
      </c>
    </row>
    <row r="11" customFormat="false" ht="31.5" hidden="false" customHeight="true" outlineLevel="0" collapsed="false">
      <c r="A11" s="2" t="s">
        <v>45</v>
      </c>
      <c r="B11" s="3" t="s">
        <v>31</v>
      </c>
      <c r="C11" s="3" t="s">
        <v>46</v>
      </c>
      <c r="D11" s="2" t="s">
        <v>13</v>
      </c>
      <c r="E11" s="3" t="s">
        <v>47</v>
      </c>
      <c r="F11" s="2" t="n">
        <v>4</v>
      </c>
      <c r="G11" s="2" t="n">
        <v>4</v>
      </c>
      <c r="H11" s="2"/>
      <c r="I11" s="2"/>
      <c r="J11" s="2" t="s">
        <v>15</v>
      </c>
    </row>
    <row r="12" customFormat="false" ht="31.5" hidden="false" customHeight="true" outlineLevel="0" collapsed="false">
      <c r="A12" s="2" t="s">
        <v>48</v>
      </c>
      <c r="B12" s="3" t="s">
        <v>31</v>
      </c>
      <c r="C12" s="3" t="s">
        <v>49</v>
      </c>
      <c r="D12" s="2" t="s">
        <v>13</v>
      </c>
      <c r="E12" s="3" t="s">
        <v>50</v>
      </c>
      <c r="F12" s="2" t="n">
        <v>5</v>
      </c>
      <c r="G12" s="2" t="n">
        <v>5</v>
      </c>
      <c r="H12" s="2"/>
      <c r="I12" s="2"/>
      <c r="J12" s="2" t="s">
        <v>15</v>
      </c>
    </row>
    <row r="13" customFormat="false" ht="31.5" hidden="false" customHeight="true" outlineLevel="0" collapsed="false">
      <c r="A13" s="2" t="s">
        <v>51</v>
      </c>
      <c r="B13" s="3" t="s">
        <v>31</v>
      </c>
      <c r="C13" s="3" t="s">
        <v>52</v>
      </c>
      <c r="D13" s="2" t="s">
        <v>13</v>
      </c>
      <c r="E13" s="3" t="s">
        <v>53</v>
      </c>
      <c r="F13" s="2" t="n">
        <v>4</v>
      </c>
      <c r="G13" s="2" t="n">
        <v>4</v>
      </c>
      <c r="H13" s="2"/>
      <c r="I13" s="2"/>
      <c r="J13" s="2" t="s">
        <v>15</v>
      </c>
    </row>
    <row r="14" customFormat="false" ht="31.5" hidden="false" customHeight="true" outlineLevel="0" collapsed="false">
      <c r="A14" s="2" t="s">
        <v>54</v>
      </c>
      <c r="B14" s="3" t="s">
        <v>55</v>
      </c>
      <c r="C14" s="3" t="s">
        <v>56</v>
      </c>
      <c r="D14" s="2" t="s">
        <v>13</v>
      </c>
      <c r="E14" s="3" t="s">
        <v>57</v>
      </c>
      <c r="F14" s="2" t="n">
        <v>4</v>
      </c>
      <c r="G14" s="2" t="n">
        <v>4</v>
      </c>
      <c r="H14" s="2"/>
      <c r="I14" s="2"/>
      <c r="J14" s="2" t="s">
        <v>15</v>
      </c>
    </row>
    <row r="15" customFormat="false" ht="31.5" hidden="false" customHeight="true" outlineLevel="0" collapsed="false">
      <c r="A15" s="2" t="s">
        <v>58</v>
      </c>
      <c r="B15" s="3" t="s">
        <v>59</v>
      </c>
      <c r="C15" s="3" t="s">
        <v>60</v>
      </c>
      <c r="D15" s="2" t="s">
        <v>13</v>
      </c>
      <c r="E15" s="3" t="s">
        <v>61</v>
      </c>
      <c r="F15" s="2" t="n">
        <v>5</v>
      </c>
      <c r="G15" s="2" t="n">
        <v>5</v>
      </c>
      <c r="H15" s="2"/>
      <c r="I15" s="2"/>
      <c r="J15" s="2" t="s">
        <v>15</v>
      </c>
    </row>
    <row r="16" customFormat="false" ht="31.5" hidden="false" customHeight="true" outlineLevel="0" collapsed="false">
      <c r="A16" s="2" t="s">
        <v>62</v>
      </c>
      <c r="B16" s="3" t="s">
        <v>63</v>
      </c>
      <c r="C16" s="3" t="s">
        <v>64</v>
      </c>
      <c r="D16" s="2" t="s">
        <v>13</v>
      </c>
      <c r="E16" s="3" t="s">
        <v>65</v>
      </c>
      <c r="F16" s="2" t="n">
        <v>4</v>
      </c>
      <c r="G16" s="2" t="n">
        <v>4</v>
      </c>
      <c r="H16" s="2"/>
      <c r="I16" s="2"/>
      <c r="J16" s="2" t="s">
        <v>15</v>
      </c>
    </row>
    <row r="17" customFormat="false" ht="31.5" hidden="false" customHeight="true" outlineLevel="0" collapsed="false">
      <c r="A17" s="2" t="s">
        <v>66</v>
      </c>
      <c r="B17" s="3" t="s">
        <v>63</v>
      </c>
      <c r="C17" s="3" t="s">
        <v>67</v>
      </c>
      <c r="D17" s="2" t="s">
        <v>13</v>
      </c>
      <c r="E17" s="3" t="s">
        <v>68</v>
      </c>
      <c r="F17" s="2" t="n">
        <v>6</v>
      </c>
      <c r="G17" s="2" t="n">
        <v>6</v>
      </c>
      <c r="H17" s="2"/>
      <c r="I17" s="2"/>
      <c r="J17" s="2" t="s">
        <v>15</v>
      </c>
    </row>
    <row r="18" customFormat="false" ht="31.5" hidden="false" customHeight="true" outlineLevel="0" collapsed="false">
      <c r="A18" s="2" t="s">
        <v>69</v>
      </c>
      <c r="B18" s="3" t="s">
        <v>70</v>
      </c>
      <c r="C18" s="3" t="s">
        <v>71</v>
      </c>
      <c r="D18" s="2" t="s">
        <v>13</v>
      </c>
      <c r="E18" s="3" t="s">
        <v>72</v>
      </c>
      <c r="F18" s="2" t="n">
        <v>4</v>
      </c>
      <c r="G18" s="2" t="n">
        <v>4</v>
      </c>
      <c r="H18" s="2"/>
      <c r="I18" s="2"/>
      <c r="J18" s="2" t="s">
        <v>15</v>
      </c>
    </row>
    <row r="19" customFormat="false" ht="31.5" hidden="false" customHeight="true" outlineLevel="0" collapsed="false">
      <c r="A19" s="2" t="s">
        <v>73</v>
      </c>
      <c r="B19" s="3" t="s">
        <v>74</v>
      </c>
      <c r="C19" s="3" t="s">
        <v>75</v>
      </c>
      <c r="D19" s="2" t="s">
        <v>13</v>
      </c>
      <c r="E19" s="3" t="s">
        <v>76</v>
      </c>
      <c r="F19" s="2" t="n">
        <v>4</v>
      </c>
      <c r="G19" s="2" t="n">
        <v>4</v>
      </c>
      <c r="H19" s="2"/>
      <c r="I19" s="2"/>
      <c r="J19" s="2" t="s">
        <v>15</v>
      </c>
    </row>
    <row r="20" customFormat="false" ht="31.5" hidden="false" customHeight="true" outlineLevel="0" collapsed="false">
      <c r="A20" s="2" t="s">
        <v>77</v>
      </c>
      <c r="B20" s="3" t="s">
        <v>74</v>
      </c>
      <c r="C20" s="3" t="s">
        <v>78</v>
      </c>
      <c r="D20" s="2" t="s">
        <v>13</v>
      </c>
      <c r="E20" s="3" t="s">
        <v>79</v>
      </c>
      <c r="F20" s="2" t="n">
        <v>3</v>
      </c>
      <c r="G20" s="2" t="n">
        <v>3</v>
      </c>
      <c r="H20" s="2"/>
      <c r="I20" s="2"/>
      <c r="J20" s="2" t="s">
        <v>15</v>
      </c>
    </row>
    <row r="21" customFormat="false" ht="31.5" hidden="false" customHeight="true" outlineLevel="0" collapsed="false">
      <c r="A21" s="2" t="s">
        <v>80</v>
      </c>
      <c r="B21" s="3" t="s">
        <v>11</v>
      </c>
      <c r="C21" s="3" t="s">
        <v>81</v>
      </c>
      <c r="D21" s="2" t="s">
        <v>13</v>
      </c>
      <c r="E21" s="3" t="s">
        <v>82</v>
      </c>
      <c r="F21" s="2" t="n">
        <v>3</v>
      </c>
      <c r="G21" s="2" t="n">
        <v>3</v>
      </c>
      <c r="H21" s="2"/>
      <c r="I21" s="2"/>
      <c r="J21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0"/>
  </cols>
  <sheetData>
    <row r="1" customFormat="false" ht="15" hidden="false" customHeight="false" outlineLevel="0" collapsed="false">
      <c r="A1" s="4"/>
      <c r="B1" s="4" t="s">
        <v>83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5" t="s">
        <v>87</v>
      </c>
      <c r="B2" s="6" t="n">
        <f aca="false">SUM('Sprint Backlog'!F2:F21)</f>
        <v>90</v>
      </c>
      <c r="C2" s="6" t="n">
        <f aca="false">$B$2-($B$2/3)*1</f>
        <v>60</v>
      </c>
      <c r="D2" s="6" t="n">
        <f aca="false">$B$2-($B$2/3)*2</f>
        <v>30</v>
      </c>
      <c r="E2" s="6" t="n">
        <f aca="false">$B$2-($B$2/3)*3</f>
        <v>0</v>
      </c>
    </row>
    <row r="3" customFormat="false" ht="15" hidden="false" customHeight="false" outlineLevel="0" collapsed="false">
      <c r="A3" s="5" t="s">
        <v>88</v>
      </c>
      <c r="B3" s="6" t="n">
        <f aca="false">SUM('Sprint Backlog'!F2:F21)</f>
        <v>90</v>
      </c>
      <c r="C3" s="6" t="n">
        <f aca="false">SUM('Sprint Backlog'!G2:G21)</f>
        <v>90</v>
      </c>
      <c r="D3" s="6" t="n">
        <f aca="false">SUM('Sprint Backlog'!H2:H21)</f>
        <v>0</v>
      </c>
      <c r="E3" s="6" t="n">
        <f aca="false">SUM('Sprint Backlog'!I2:I21)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2026-07-02T10:01:45Z</dcterms:created>
  <dc:creator>openpyxl</dc:creator>
  <dc:description/>
  <dc:language>en-US</dc:language>
  <cp:lastModifiedBy/>
  <dcterms:modified xsi:type="dcterms:W3CDTF">2026-07-02T10:01:47Z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