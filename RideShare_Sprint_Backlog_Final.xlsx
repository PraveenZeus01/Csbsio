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<sst xmlns="http://schemas.openxmlformats.org/spreadsheetml/2006/main" count="173" uniqueCount="99">
  <si>
    <t xml:space="preserve">Epic</t>
  </si>
  <si>
    <t xml:space="preserve">Story Card</t>
  </si>
  <si>
    <t xml:space="preserve">Source US</t>
  </si>
  <si>
    <t xml:space="preserve">Task</t>
  </si>
  <si>
    <t xml:space="preserve">Task Details</t>
  </si>
  <si>
    <t xml:space="preserve">Priority</t>
  </si>
  <si>
    <t xml:space="preserve">Story Points</t>
  </si>
  <si>
    <t xml:space="preserve">Sprint</t>
  </si>
  <si>
    <t xml:space="preserve">Status</t>
  </si>
  <si>
    <t xml:space="preserve">Dependencies</t>
  </si>
  <si>
    <t xml:space="preserve">Authentication</t>
  </si>
  <si>
    <t xml:space="preserve">Role-Based Login</t>
  </si>
  <si>
    <t xml:space="preserve">US01</t>
  </si>
  <si>
    <t xml:space="preserve">Login</t>
  </si>
  <si>
    <t xml:space="preserve">Authenticate admin/driver/passenger and redirect to role-based home page</t>
  </si>
  <si>
    <t xml:space="preserve">High</t>
  </si>
  <si>
    <t xml:space="preserve">To Do</t>
  </si>
  <si>
    <t xml:space="preserve">Logout</t>
  </si>
  <si>
    <t xml:space="preserve">US20</t>
  </si>
  <si>
    <t xml:space="preserve">Confirm logout, expire session, and clear browser cache</t>
  </si>
  <si>
    <t xml:space="preserve">Admin - Driver Management</t>
  </si>
  <si>
    <t xml:space="preserve">Driver Management (Admin)</t>
  </si>
  <si>
    <t xml:space="preserve">US02</t>
  </si>
  <si>
    <t xml:space="preserve">Create Driver</t>
  </si>
  <si>
    <t xml:space="preserve">Create driver account with default password, 5-digit ID, inactive status</t>
  </si>
  <si>
    <t xml:space="preserve">US03</t>
  </si>
  <si>
    <t xml:space="preserve">Read Driver</t>
  </si>
  <si>
    <t xml:space="preserve">View driver records filtered by registration_status, sortable by rating/date</t>
  </si>
  <si>
    <t xml:space="preserve">Medium</t>
  </si>
  <si>
    <t xml:space="preserve">US04</t>
  </si>
  <si>
    <t xml:space="preserve">Update Driver</t>
  </si>
  <si>
    <t xml:space="preserve">Terminate low-performing drivers by updating status active to inactive</t>
  </si>
  <si>
    <t xml:space="preserve">Admin - Passenger Oversight</t>
  </si>
  <si>
    <t xml:space="preserve">Passenger Oversight (Admin)</t>
  </si>
  <si>
    <t xml:space="preserve">US05</t>
  </si>
  <si>
    <t xml:space="preserve">Read Passenger</t>
  </si>
  <si>
    <t xml:space="preserve">View passenger records sorted by no. of rides, filterable by status</t>
  </si>
  <si>
    <t xml:space="preserve">US14</t>
  </si>
  <si>
    <t xml:space="preserve">Admin - Ride Approval</t>
  </si>
  <si>
    <t xml:space="preserve">Ride Approval (Admin)</t>
  </si>
  <si>
    <t xml:space="preserve">US06</t>
  </si>
  <si>
    <t xml:space="preserve">Approve Ride</t>
  </si>
  <si>
    <t xml:space="preserve">Approve driver requests to add, modify, or delete rides</t>
  </si>
  <si>
    <t xml:space="preserve">US09</t>
  </si>
  <si>
    <t xml:space="preserve">Admin - Audit Trail</t>
  </si>
  <si>
    <t xml:space="preserve">Audit Trail (Admin)</t>
  </si>
  <si>
    <t xml:space="preserve">US07</t>
  </si>
  <si>
    <t xml:space="preserve">Maintain Audit Logs</t>
  </si>
  <si>
    <t xml:space="preserve">Log all CRUD actions for Driver, Passenger, Ride, Booking, and Rating; export as CSV</t>
  </si>
  <si>
    <t xml:space="preserve">Driver - Profile Management</t>
  </si>
  <si>
    <t xml:space="preserve">Driver Profile Management</t>
  </si>
  <si>
    <t xml:space="preserve">US08</t>
  </si>
  <si>
    <t xml:space="preserve">Create Driver Profile</t>
  </si>
  <si>
    <t xml:space="preserve">Self-register driver account with 7-digit ID and LI-prefixed license number</t>
  </si>
  <si>
    <t xml:space="preserve">US13</t>
  </si>
  <si>
    <t xml:space="preserve">Update Driver Profile</t>
  </si>
  <si>
    <t xml:space="preserve">Edit driver profile fields except Driver ID and License Number</t>
  </si>
  <si>
    <t xml:space="preserve">Driver - Ride Management</t>
  </si>
  <si>
    <t xml:space="preserve">Ride Management (Driver)</t>
  </si>
  <si>
    <t xml:space="preserve">Create Ride</t>
  </si>
  <si>
    <t xml:space="preserve">Add new ride with inactive status, pending admin approval</t>
  </si>
  <si>
    <t xml:space="preserve">US10</t>
  </si>
  <si>
    <t xml:space="preserve">Read Ride</t>
  </si>
  <si>
    <t xml:space="preserve">View rides by registration_status, sortable by fare and distance</t>
  </si>
  <si>
    <t xml:space="preserve">US11</t>
  </si>
  <si>
    <t xml:space="preserve">Update Ride</t>
  </si>
  <si>
    <t xml:space="preserve">Edit ride details by race_id; status reverts to inactive pending re-approval</t>
  </si>
  <si>
    <t xml:space="preserve">US12</t>
  </si>
  <si>
    <t xml:space="preserve">Delete Ride</t>
  </si>
  <si>
    <t xml:space="preserve">Cancel ride by race_id, pending admin approval to deactivate</t>
  </si>
  <si>
    <t xml:space="preserve">Passenger - Profile Management</t>
  </si>
  <si>
    <t xml:space="preserve">Passenger Profile Management</t>
  </si>
  <si>
    <t xml:space="preserve">Create Passenger Profile</t>
  </si>
  <si>
    <t xml:space="preserve">Self-register passenger account with 7-digit ID and input validations</t>
  </si>
  <si>
    <t xml:space="preserve">US18</t>
  </si>
  <si>
    <t xml:space="preserve">Update Passenger Profile</t>
  </si>
  <si>
    <t xml:space="preserve">Edit passenger profile fields except Passenger ID</t>
  </si>
  <si>
    <t xml:space="preserve">US19</t>
  </si>
  <si>
    <t xml:space="preserve">Delete Passenger Profile</t>
  </si>
  <si>
    <t xml:space="preserve">Deactivate account by updating status active to inactive; blocks login</t>
  </si>
  <si>
    <t xml:space="preserve">Passenger - Ride Booking</t>
  </si>
  <si>
    <t xml:space="preserve">Ride Booking (Passenger)</t>
  </si>
  <si>
    <t xml:space="preserve">US15</t>
  </si>
  <si>
    <t xml:space="preserve">Browse Rides</t>
  </si>
  <si>
    <t xml:space="preserve">View active rides in grid format with driver and ride details</t>
  </si>
  <si>
    <t xml:space="preserve">US16</t>
  </si>
  <si>
    <t xml:space="preserve">Book Ride</t>
  </si>
  <si>
    <t xml:space="preserve">Book an active ride; record in booking history sortable by date</t>
  </si>
  <si>
    <t xml:space="preserve">Passenger - Rating</t>
  </si>
  <si>
    <t xml:space="preserve">Driver Rating (Passenger)</t>
  </si>
  <si>
    <t xml:space="preserve">US17</t>
  </si>
  <si>
    <t xml:space="preserve">Rate Driver</t>
  </si>
  <si>
    <t xml:space="preserve">Rate driver 1.0 to 5.0 once ride status is Completed</t>
  </si>
  <si>
    <t xml:space="preserve">Sprint 1</t>
  </si>
  <si>
    <t xml:space="preserve">Sprint 2</t>
  </si>
  <si>
    <t xml:space="preserve">Sprint 3</t>
  </si>
  <si>
    <t xml:space="preserve">Sprint 4</t>
  </si>
  <si>
    <t xml:space="preserve">Initial Estimation Trend (Story Points)</t>
  </si>
  <si>
    <t xml:space="preserve">Actual Estimation Trend (Story Points)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</si>
</sst>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A7EBB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Estimation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'Sprint Backlog'!A25</c:f>
              <c:strCache>
                <c:ptCount val="1"/>
                <c:pt idx="0">
                  <c:v>Initial Estimation Trend (Story Points)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Backlog'!$B$24:$E$24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</c:strCache>
            </c:strRef>
          </c:cat>
          <c:val>
            <c:numRef>
              <c:f>'Sprint Backlog'!$B$25:$E$25</c:f>
              <c:numCache>
                <c:formatCode>General</c:formatCode>
                <c:ptCount val="4"/>
                <c:pt idx="0">
                  <c:v>28</c:v>
                </c:pt>
                <c:pt idx="1">
                  <c:v>33</c:v>
                </c:pt>
                <c:pt idx="2">
                  <c:v>10</c:v>
                </c:pt>
                <c:pt idx="3">
                  <c:v>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'Sprint Backlog'!A26</c:f>
              <c:strCache>
                <c:ptCount val="1"/>
                <c:pt idx="0">
                  <c:v>Actual Estimation Trend (Story Points)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Backlog'!$B$24:$E$24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</c:strCache>
            </c:strRef>
          </c:cat>
          <c:val>
            <c:numRef>
              <c:f>'Sprint Backlog'!$B$26:$E$26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694309"/>
        <c:axId val="48100171"/>
      </c:lineChart>
      <c:catAx>
        <c:axId val="236943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00171"/>
        <c:crosses val="autoZero"/>
        <c:auto val="1"/>
        <c:lblAlgn val="ctr"/>
        <c:lblOffset val="100"/>
        <c:noMultiLvlLbl val="0"/>
      </c:catAx>
      <c:valAx>
        <c:axId val="48100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943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297360</xdr:rowOff>
    </xdr:from>
    <xdr:to>
      <xdr:col>4</xdr:col>
      <xdr:colOff>402840</xdr:colOff>
      <xdr:row>33</xdr:row>
      <xdr:rowOff>151560</xdr:rowOff>
    </xdr:to>
    <xdr:graphicFrame>
      <xdr:nvGraphicFramePr>
        <xdr:cNvPr id="0" name="Chart 1"/>
        <xdr:cNvGraphicFramePr/>
      </xdr:nvGraphicFramePr>
      <xdr:xfrm>
        <a:off x="0" y="5524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n">
        <v>5</v>
      </c>
      <c r="H2" s="2" t="n">
        <v>1</v>
      </c>
      <c r="I2" s="3" t="s">
        <v>16</v>
      </c>
      <c r="J2" s="2"/>
    </row>
    <row r="3" customFormat="false" ht="23.8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17</v>
      </c>
      <c r="E3" s="2" t="s">
        <v>19</v>
      </c>
      <c r="F3" s="2" t="s">
        <v>15</v>
      </c>
      <c r="G3" s="2" t="n">
        <v>2</v>
      </c>
      <c r="H3" s="2" t="n">
        <v>1</v>
      </c>
      <c r="I3" s="3" t="s">
        <v>16</v>
      </c>
      <c r="J3" s="2" t="s">
        <v>12</v>
      </c>
    </row>
    <row r="4" customFormat="false" ht="23.8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15</v>
      </c>
      <c r="G4" s="2" t="n">
        <v>5</v>
      </c>
      <c r="H4" s="2" t="n">
        <v>1</v>
      </c>
      <c r="I4" s="3" t="s">
        <v>16</v>
      </c>
      <c r="J4" s="2" t="s">
        <v>12</v>
      </c>
    </row>
    <row r="5" customFormat="false" ht="23.85" hidden="false" customHeight="false" outlineLevel="0" collapsed="false">
      <c r="A5" s="2" t="s">
        <v>20</v>
      </c>
      <c r="B5" s="2" t="s">
        <v>21</v>
      </c>
      <c r="C5" s="2" t="s">
        <v>25</v>
      </c>
      <c r="D5" s="2" t="s">
        <v>26</v>
      </c>
      <c r="E5" s="2" t="s">
        <v>27</v>
      </c>
      <c r="F5" s="2" t="s">
        <v>28</v>
      </c>
      <c r="G5" s="2" t="n">
        <v>3</v>
      </c>
      <c r="H5" s="2" t="n">
        <v>1</v>
      </c>
      <c r="I5" s="3" t="s">
        <v>16</v>
      </c>
      <c r="J5" s="2" t="s">
        <v>22</v>
      </c>
    </row>
    <row r="6" customFormat="false" ht="23.85" hidden="false" customHeight="false" outlineLevel="0" collapsed="false">
      <c r="A6" s="2" t="s">
        <v>20</v>
      </c>
      <c r="B6" s="2" t="s">
        <v>21</v>
      </c>
      <c r="C6" s="2" t="s">
        <v>29</v>
      </c>
      <c r="D6" s="2" t="s">
        <v>30</v>
      </c>
      <c r="E6" s="2" t="s">
        <v>31</v>
      </c>
      <c r="F6" s="2" t="s">
        <v>28</v>
      </c>
      <c r="G6" s="2" t="n">
        <v>3</v>
      </c>
      <c r="H6" s="2" t="n">
        <v>2</v>
      </c>
      <c r="I6" s="3" t="s">
        <v>16</v>
      </c>
      <c r="J6" s="2" t="s">
        <v>25</v>
      </c>
    </row>
    <row r="7" customFormat="false" ht="23.8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28</v>
      </c>
      <c r="G7" s="2" t="n">
        <v>3</v>
      </c>
      <c r="H7" s="2" t="n">
        <v>1</v>
      </c>
      <c r="I7" s="3" t="s">
        <v>16</v>
      </c>
      <c r="J7" s="2" t="s">
        <v>37</v>
      </c>
    </row>
    <row r="8" customFormat="false" ht="23.85" hidden="false" customHeight="false" outlineLevel="0" collapsed="false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15</v>
      </c>
      <c r="G8" s="2" t="n">
        <v>5</v>
      </c>
      <c r="H8" s="2" t="n">
        <v>2</v>
      </c>
      <c r="I8" s="3" t="s">
        <v>16</v>
      </c>
      <c r="J8" s="2" t="s">
        <v>43</v>
      </c>
    </row>
    <row r="9" customFormat="false" ht="23.8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28</v>
      </c>
      <c r="G9" s="2" t="n">
        <v>5</v>
      </c>
      <c r="H9" s="2" t="n">
        <v>4</v>
      </c>
      <c r="I9" s="3" t="s">
        <v>16</v>
      </c>
      <c r="J9" s="2"/>
    </row>
    <row r="10" customFormat="false" ht="23.8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15</v>
      </c>
      <c r="G10" s="2" t="n">
        <v>5</v>
      </c>
      <c r="H10" s="2" t="n">
        <v>1</v>
      </c>
      <c r="I10" s="3" t="s">
        <v>16</v>
      </c>
      <c r="J10" s="2"/>
    </row>
    <row r="11" customFormat="false" ht="23.85" hidden="false" customHeight="false" outlineLevel="0" collapsed="false">
      <c r="A11" s="2" t="s">
        <v>49</v>
      </c>
      <c r="B11" s="2" t="s">
        <v>50</v>
      </c>
      <c r="C11" s="2" t="s">
        <v>54</v>
      </c>
      <c r="D11" s="2" t="s">
        <v>55</v>
      </c>
      <c r="E11" s="2" t="s">
        <v>56</v>
      </c>
      <c r="F11" s="2" t="s">
        <v>28</v>
      </c>
      <c r="G11" s="2" t="n">
        <v>3</v>
      </c>
      <c r="H11" s="2" t="n">
        <v>2</v>
      </c>
      <c r="I11" s="3" t="s">
        <v>16</v>
      </c>
      <c r="J11" s="2" t="s">
        <v>51</v>
      </c>
    </row>
    <row r="12" customFormat="false" ht="23.85" hidden="false" customHeight="false" outlineLevel="0" collapsed="false">
      <c r="A12" s="2" t="s">
        <v>57</v>
      </c>
      <c r="B12" s="2" t="s">
        <v>58</v>
      </c>
      <c r="C12" s="2" t="s">
        <v>43</v>
      </c>
      <c r="D12" s="2" t="s">
        <v>59</v>
      </c>
      <c r="E12" s="2" t="s">
        <v>60</v>
      </c>
      <c r="F12" s="2" t="s">
        <v>15</v>
      </c>
      <c r="G12" s="2" t="n">
        <v>5</v>
      </c>
      <c r="H12" s="2" t="n">
        <v>2</v>
      </c>
      <c r="I12" s="3" t="s">
        <v>16</v>
      </c>
      <c r="J12" s="2" t="s">
        <v>51</v>
      </c>
    </row>
    <row r="13" customFormat="false" ht="23.85" hidden="false" customHeight="false" outlineLevel="0" collapsed="false">
      <c r="A13" s="2" t="s">
        <v>57</v>
      </c>
      <c r="B13" s="2" t="s">
        <v>58</v>
      </c>
      <c r="C13" s="2" t="s">
        <v>61</v>
      </c>
      <c r="D13" s="2" t="s">
        <v>62</v>
      </c>
      <c r="E13" s="2" t="s">
        <v>63</v>
      </c>
      <c r="F13" s="2" t="s">
        <v>28</v>
      </c>
      <c r="G13" s="2" t="n">
        <v>3</v>
      </c>
      <c r="H13" s="2" t="n">
        <v>2</v>
      </c>
      <c r="I13" s="3" t="s">
        <v>16</v>
      </c>
      <c r="J13" s="2" t="s">
        <v>43</v>
      </c>
    </row>
    <row r="14" customFormat="false" ht="23.85" hidden="false" customHeight="false" outlineLevel="0" collapsed="false">
      <c r="A14" s="2" t="s">
        <v>57</v>
      </c>
      <c r="B14" s="2" t="s">
        <v>58</v>
      </c>
      <c r="C14" s="2" t="s">
        <v>64</v>
      </c>
      <c r="D14" s="2" t="s">
        <v>65</v>
      </c>
      <c r="E14" s="2" t="s">
        <v>66</v>
      </c>
      <c r="F14" s="2" t="s">
        <v>28</v>
      </c>
      <c r="G14" s="2" t="n">
        <v>5</v>
      </c>
      <c r="H14" s="2" t="n">
        <v>2</v>
      </c>
      <c r="I14" s="3" t="s">
        <v>16</v>
      </c>
      <c r="J14" s="2" t="s">
        <v>43</v>
      </c>
    </row>
    <row r="15" customFormat="false" ht="23.85" hidden="false" customHeight="false" outlineLevel="0" collapsed="false">
      <c r="A15" s="2" t="s">
        <v>57</v>
      </c>
      <c r="B15" s="2" t="s">
        <v>58</v>
      </c>
      <c r="C15" s="2" t="s">
        <v>67</v>
      </c>
      <c r="D15" s="2" t="s">
        <v>68</v>
      </c>
      <c r="E15" s="2" t="s">
        <v>69</v>
      </c>
      <c r="F15" s="2" t="s">
        <v>28</v>
      </c>
      <c r="G15" s="2" t="n">
        <v>3</v>
      </c>
      <c r="H15" s="2" t="n">
        <v>2</v>
      </c>
      <c r="I15" s="3" t="s">
        <v>16</v>
      </c>
      <c r="J15" s="2" t="s">
        <v>43</v>
      </c>
    </row>
    <row r="16" customFormat="false" ht="23.85" hidden="false" customHeight="false" outlineLevel="0" collapsed="false">
      <c r="A16" s="2" t="s">
        <v>70</v>
      </c>
      <c r="B16" s="2" t="s">
        <v>71</v>
      </c>
      <c r="C16" s="2" t="s">
        <v>37</v>
      </c>
      <c r="D16" s="2" t="s">
        <v>72</v>
      </c>
      <c r="E16" s="2" t="s">
        <v>73</v>
      </c>
      <c r="F16" s="2" t="s">
        <v>15</v>
      </c>
      <c r="G16" s="2" t="n">
        <v>5</v>
      </c>
      <c r="H16" s="2" t="n">
        <v>1</v>
      </c>
      <c r="I16" s="3" t="s">
        <v>16</v>
      </c>
      <c r="J16" s="2"/>
    </row>
    <row r="17" customFormat="false" ht="23.85" hidden="false" customHeight="false" outlineLevel="0" collapsed="false">
      <c r="A17" s="2" t="s">
        <v>70</v>
      </c>
      <c r="B17" s="2" t="s">
        <v>71</v>
      </c>
      <c r="C17" s="2" t="s">
        <v>74</v>
      </c>
      <c r="D17" s="2" t="s">
        <v>75</v>
      </c>
      <c r="E17" s="2" t="s">
        <v>76</v>
      </c>
      <c r="F17" s="2" t="s">
        <v>28</v>
      </c>
      <c r="G17" s="2" t="n">
        <v>3</v>
      </c>
      <c r="H17" s="2" t="n">
        <v>2</v>
      </c>
      <c r="I17" s="3" t="s">
        <v>16</v>
      </c>
      <c r="J17" s="2" t="s">
        <v>37</v>
      </c>
    </row>
    <row r="18" customFormat="false" ht="23.85" hidden="false" customHeight="false" outlineLevel="0" collapsed="false">
      <c r="A18" s="2" t="s">
        <v>70</v>
      </c>
      <c r="B18" s="2" t="s">
        <v>71</v>
      </c>
      <c r="C18" s="2" t="s">
        <v>77</v>
      </c>
      <c r="D18" s="2" t="s">
        <v>78</v>
      </c>
      <c r="E18" s="2" t="s">
        <v>79</v>
      </c>
      <c r="F18" s="2" t="s">
        <v>28</v>
      </c>
      <c r="G18" s="2" t="n">
        <v>2</v>
      </c>
      <c r="H18" s="2" t="n">
        <v>3</v>
      </c>
      <c r="I18" s="3" t="s">
        <v>16</v>
      </c>
      <c r="J18" s="2" t="s">
        <v>37</v>
      </c>
    </row>
    <row r="19" customFormat="false" ht="23.85" hidden="false" customHeight="false" outlineLevel="0" collapsed="false">
      <c r="A19" s="2" t="s">
        <v>80</v>
      </c>
      <c r="B19" s="2" t="s">
        <v>81</v>
      </c>
      <c r="C19" s="2" t="s">
        <v>82</v>
      </c>
      <c r="D19" s="2" t="s">
        <v>83</v>
      </c>
      <c r="E19" s="2" t="s">
        <v>84</v>
      </c>
      <c r="F19" s="2" t="s">
        <v>15</v>
      </c>
      <c r="G19" s="2" t="n">
        <v>3</v>
      </c>
      <c r="H19" s="2" t="n">
        <v>2</v>
      </c>
      <c r="I19" s="3" t="s">
        <v>16</v>
      </c>
      <c r="J19" s="2" t="s">
        <v>61</v>
      </c>
    </row>
    <row r="20" customFormat="false" ht="23.85" hidden="false" customHeight="false" outlineLevel="0" collapsed="false">
      <c r="A20" s="2" t="s">
        <v>80</v>
      </c>
      <c r="B20" s="2" t="s">
        <v>81</v>
      </c>
      <c r="C20" s="2" t="s">
        <v>85</v>
      </c>
      <c r="D20" s="2" t="s">
        <v>86</v>
      </c>
      <c r="E20" s="2" t="s">
        <v>87</v>
      </c>
      <c r="F20" s="2" t="s">
        <v>15</v>
      </c>
      <c r="G20" s="2" t="n">
        <v>5</v>
      </c>
      <c r="H20" s="2" t="n">
        <v>3</v>
      </c>
      <c r="I20" s="3" t="s">
        <v>16</v>
      </c>
      <c r="J20" s="2" t="s">
        <v>82</v>
      </c>
    </row>
    <row r="21" customFormat="false" ht="15" hidden="false" customHeight="false" outlineLevel="0" collapsed="false">
      <c r="A21" s="2" t="s">
        <v>88</v>
      </c>
      <c r="B21" s="2" t="s">
        <v>89</v>
      </c>
      <c r="C21" s="2" t="s">
        <v>90</v>
      </c>
      <c r="D21" s="2" t="s">
        <v>91</v>
      </c>
      <c r="E21" s="2" t="s">
        <v>92</v>
      </c>
      <c r="F21" s="2" t="s">
        <v>28</v>
      </c>
      <c r="G21" s="2" t="n">
        <v>3</v>
      </c>
      <c r="H21" s="2" t="n">
        <v>3</v>
      </c>
      <c r="I21" s="3" t="s">
        <v>16</v>
      </c>
      <c r="J21" s="2" t="s">
        <v>85</v>
      </c>
    </row>
    <row r="24" customFormat="false" ht="15" hidden="false" customHeight="false" outlineLevel="0" collapsed="false">
      <c r="A24" s="4" t="s">
        <v>7</v>
      </c>
      <c r="B24" s="4" t="s">
        <v>93</v>
      </c>
      <c r="C24" s="4" t="s">
        <v>94</v>
      </c>
      <c r="D24" s="4" t="s">
        <v>95</v>
      </c>
      <c r="E24" s="4" t="s">
        <v>96</v>
      </c>
    </row>
    <row r="25" customFormat="false" ht="15" hidden="false" customHeight="false" outlineLevel="0" collapsed="false">
      <c r="A25" s="5" t="s">
        <v>97</v>
      </c>
      <c r="B25" s="6" t="n">
        <f aca="false">SUMIF($H$2:$H$21,1,$G$2:$G$21)</f>
        <v>28</v>
      </c>
      <c r="C25" s="6" t="n">
        <f aca="false">SUMIF($H$2:$H$21,2,$G$2:$G$21)</f>
        <v>33</v>
      </c>
      <c r="D25" s="6" t="n">
        <f aca="false">SUMIF($H$2:$H$21,3,$G$2:$G$21)</f>
        <v>10</v>
      </c>
      <c r="E25" s="6" t="n">
        <f aca="false">SUMIF($H$2:$H$21,4,$G$2:$G$21)</f>
        <v>5</v>
      </c>
    </row>
    <row r="26" customFormat="false" ht="15" hidden="false" customHeight="false" outlineLevel="0" collapsed="false">
      <c r="A26" s="5" t="s">
        <v>98</v>
      </c>
      <c r="B26" s="6" t="n">
        <f aca="false">SUMIFS($G$2:$G$21,$H$2:$H$21,1,$I$2:$I$21,"Done")</f>
        <v>0</v>
      </c>
      <c r="C26" s="6" t="n">
        <f aca="false">SUMIFS($G$2:$G$21,$H$2:$H$21,2,$I$2:$I$21,"Done")</f>
        <v>0</v>
      </c>
      <c r="D26" s="6" t="n">
        <f aca="false">SUMIFS($G$2:$G$21,$H$2:$H$21,3,$I$2:$I$21,"Done")</f>
        <v>0</v>
      </c>
      <c r="E26" s="6" t="n">
        <f aca="false">SUMIFS($G$2:$G$21,$H$2:$H$21,4,$I$2:$I$21,"Done")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2026-06-30T05:01:27Z</dcterms:created>
  <dc:creator>openpyxl</dc:creator>
  <dc:description/>
  <dc:language>en-US</dc:language>
  <cp:lastModifiedBy/>
  <dcterms:modified xsi:type="dcterms:W3CDTF">2026-06-30T05:01:29Z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